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rsos\Maestria en Ciencia de Datos - Uni Austral\Año 1\Laboratorio de Implementación I\Competencia Kaggle\"/>
    </mc:Choice>
  </mc:AlternateContent>
  <xr:revisionPtr revIDLastSave="0" documentId="13_ncr:1_{B1507413-15E2-4764-B0F7-1047ED6576DB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Hoja1" sheetId="1" r:id="rId1"/>
  </sheets>
  <definedNames>
    <definedName name="_xlnm._FilterDatabase" localSheetId="0" hidden="1">Hoja1!$T$1:$T$68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1" l="1"/>
  <c r="Y32" i="1"/>
  <c r="W33" i="1"/>
  <c r="W32" i="1"/>
  <c r="V32" i="1"/>
  <c r="AC72" i="1"/>
  <c r="AC74" i="1"/>
  <c r="AC73" i="1"/>
  <c r="AC71" i="1"/>
  <c r="AC70" i="1"/>
  <c r="P74" i="1"/>
  <c r="P73" i="1"/>
  <c r="P72" i="1"/>
  <c r="X32" i="1" s="1"/>
  <c r="P71" i="1"/>
  <c r="P70" i="1"/>
  <c r="C74" i="1"/>
  <c r="C73" i="1"/>
  <c r="C72" i="1"/>
  <c r="K35" i="1" s="1"/>
  <c r="C71" i="1"/>
  <c r="C70" i="1"/>
  <c r="AE68" i="1"/>
  <c r="AE65" i="1"/>
  <c r="AE62" i="1"/>
  <c r="AE59" i="1"/>
  <c r="AE57" i="1"/>
  <c r="AE54" i="1"/>
  <c r="AE51" i="1"/>
  <c r="AE48" i="1"/>
  <c r="AE46" i="1"/>
  <c r="AE43" i="1"/>
  <c r="AE40" i="1"/>
  <c r="AE37" i="1"/>
  <c r="AE35" i="1"/>
  <c r="AE32" i="1"/>
  <c r="AE29" i="1"/>
  <c r="AE26" i="1"/>
  <c r="AE24" i="1"/>
  <c r="AE21" i="1"/>
  <c r="AE18" i="1"/>
  <c r="AE15" i="1"/>
  <c r="AE13" i="1"/>
  <c r="AE10" i="1"/>
  <c r="AE7" i="1"/>
  <c r="AE4" i="1"/>
  <c r="R68" i="1"/>
  <c r="R65" i="1"/>
  <c r="R62" i="1"/>
  <c r="R59" i="1"/>
  <c r="R57" i="1"/>
  <c r="R54" i="1"/>
  <c r="R51" i="1"/>
  <c r="R48" i="1"/>
  <c r="R46" i="1"/>
  <c r="R43" i="1"/>
  <c r="R40" i="1"/>
  <c r="R37" i="1"/>
  <c r="R35" i="1"/>
  <c r="R32" i="1"/>
  <c r="R29" i="1"/>
  <c r="R26" i="1"/>
  <c r="R24" i="1"/>
  <c r="R21" i="1"/>
  <c r="R18" i="1"/>
  <c r="R15" i="1"/>
  <c r="R4" i="1"/>
  <c r="R13" i="1"/>
  <c r="R10" i="1"/>
  <c r="R7" i="1"/>
  <c r="E10" i="1"/>
  <c r="E68" i="1"/>
  <c r="E65" i="1"/>
  <c r="E62" i="1"/>
  <c r="E59" i="1"/>
  <c r="E57" i="1"/>
  <c r="E54" i="1"/>
  <c r="E51" i="1"/>
  <c r="E48" i="1"/>
  <c r="E13" i="1"/>
  <c r="E7" i="1"/>
  <c r="E4" i="1"/>
  <c r="E46" i="1"/>
  <c r="E43" i="1"/>
  <c r="E40" i="1"/>
  <c r="E37" i="1"/>
  <c r="E35" i="1"/>
  <c r="E32" i="1"/>
  <c r="E29" i="1"/>
  <c r="E26" i="1"/>
  <c r="E24" i="1"/>
  <c r="E21" i="1"/>
  <c r="E18" i="1"/>
  <c r="E15" i="1"/>
  <c r="I35" i="1" l="1"/>
  <c r="J36" i="1" s="1"/>
  <c r="AD73" i="1"/>
  <c r="Q73" i="1"/>
  <c r="J35" i="1"/>
  <c r="D73" i="1"/>
  <c r="L36" i="1"/>
  <c r="L35" i="1"/>
</calcChain>
</file>

<file path=xl/sharedStrings.xml><?xml version="1.0" encoding="utf-8"?>
<sst xmlns="http://schemas.openxmlformats.org/spreadsheetml/2006/main" count="307" uniqueCount="26">
  <si>
    <t>Semilla</t>
  </si>
  <si>
    <t>S4</t>
  </si>
  <si>
    <t>S5</t>
  </si>
  <si>
    <t>S6</t>
  </si>
  <si>
    <t>Código 1</t>
  </si>
  <si>
    <t>SCORE</t>
  </si>
  <si>
    <t>SD =</t>
  </si>
  <si>
    <t>Media =</t>
  </si>
  <si>
    <t>Mediana =</t>
  </si>
  <si>
    <t>Max. =</t>
  </si>
  <si>
    <t>Orden</t>
  </si>
  <si>
    <t>MEDIA</t>
  </si>
  <si>
    <t>Desv. Estan.</t>
  </si>
  <si>
    <t>Media</t>
  </si>
  <si>
    <t>Mediana</t>
  </si>
  <si>
    <t>Max.</t>
  </si>
  <si>
    <t>S1</t>
  </si>
  <si>
    <t>S2</t>
  </si>
  <si>
    <t>S3</t>
  </si>
  <si>
    <t>Min. =</t>
  </si>
  <si>
    <t>Directorio</t>
  </si>
  <si>
    <t>S8</t>
  </si>
  <si>
    <t>Código Prueba</t>
  </si>
  <si>
    <t>Código P</t>
  </si>
  <si>
    <t>Código 3</t>
  </si>
  <si>
    <t>Ordenar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</si>
</sst>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/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2" fontId="0" fillId="3" borderId="0" xfId="0" applyNumberFormat="1" applyFill="1" applyAlignment="1">
      <alignment horizontal="center" vertical="center"/>
    </xf>
    <xf numFmtId="0" fontId="0" fillId="3" borderId="0" xfId="0" applyFill="1"/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"/>
  <sheetViews>
    <sheetView tabSelected="1" topLeftCell="A7" workbookViewId="0">
      <selection activeCell="M60" sqref="M60"/>
    </sheetView>
  </sheetViews>
  <sheetFormatPr baseColWidth="10" defaultColWidth="9" defaultRowHeight="14.3" x14ac:dyDescent="0.25"/>
  <cols>
    <col min="2" max="2" width="9.75" customWidth="1"/>
    <col min="3" max="3" width="11.125" bestFit="1" customWidth="1"/>
    <col min="4" max="5" width="11.125" customWidth="1"/>
    <col min="10" max="10" width="11.125" bestFit="1" customWidth="1"/>
    <col min="18" max="18" width="10.875" bestFit="1" customWidth="1"/>
  </cols>
  <sheetData>
    <row r="1" spans="1:33" x14ac:dyDescent="0.25">
      <c r="A1" s="24" t="s">
        <v>4</v>
      </c>
      <c r="B1" s="24"/>
      <c r="C1" s="24"/>
      <c r="D1" s="24"/>
      <c r="E1" s="24"/>
      <c r="G1" s="15" t="s">
        <v>4</v>
      </c>
      <c r="N1" s="24" t="s">
        <v>22</v>
      </c>
      <c r="O1" s="24"/>
      <c r="P1" s="24"/>
      <c r="Q1" s="24"/>
      <c r="R1" s="24"/>
      <c r="T1" s="16" t="s">
        <v>23</v>
      </c>
      <c r="AA1" s="24" t="s">
        <v>24</v>
      </c>
      <c r="AB1" s="24"/>
      <c r="AC1" s="24"/>
      <c r="AD1" s="24"/>
      <c r="AE1" s="24"/>
      <c r="AG1" s="16" t="s">
        <v>24</v>
      </c>
    </row>
    <row r="2" spans="1:33" x14ac:dyDescent="0.25">
      <c r="A2" t="s">
        <v>20</v>
      </c>
      <c r="B2" s="1" t="s">
        <v>0</v>
      </c>
      <c r="C2" s="1" t="s">
        <v>5</v>
      </c>
      <c r="D2" s="1"/>
      <c r="E2" s="1"/>
      <c r="F2" s="1"/>
      <c r="G2" s="1" t="s">
        <v>10</v>
      </c>
      <c r="H2" s="1"/>
      <c r="I2" s="1"/>
      <c r="J2" s="1"/>
      <c r="K2" s="1"/>
      <c r="L2" s="1"/>
      <c r="N2" t="s">
        <v>20</v>
      </c>
      <c r="O2" s="1" t="s">
        <v>0</v>
      </c>
      <c r="P2" s="1" t="s">
        <v>5</v>
      </c>
      <c r="T2" s="1" t="s">
        <v>25</v>
      </c>
      <c r="AA2" t="s">
        <v>20</v>
      </c>
      <c r="AB2" s="1" t="s">
        <v>0</v>
      </c>
      <c r="AC2" s="1" t="s">
        <v>5</v>
      </c>
      <c r="AG2" s="1" t="s">
        <v>25</v>
      </c>
    </row>
    <row r="3" spans="1:33" x14ac:dyDescent="0.25">
      <c r="A3" s="21">
        <v>7008</v>
      </c>
      <c r="B3" s="1" t="s">
        <v>1</v>
      </c>
      <c r="C3" s="1">
        <v>3584</v>
      </c>
      <c r="D3" s="1"/>
      <c r="E3" s="1" t="s">
        <v>12</v>
      </c>
      <c r="F3" s="1"/>
      <c r="G3" s="1">
        <v>2899</v>
      </c>
      <c r="H3" s="1"/>
      <c r="I3" s="1"/>
      <c r="J3" s="1"/>
      <c r="K3" s="1"/>
      <c r="L3" s="1"/>
      <c r="N3" s="21">
        <v>8000</v>
      </c>
      <c r="O3" s="1" t="s">
        <v>21</v>
      </c>
      <c r="P3" s="1">
        <v>3654</v>
      </c>
      <c r="R3" s="1" t="s">
        <v>12</v>
      </c>
      <c r="T3" s="1">
        <v>5779</v>
      </c>
      <c r="AA3" s="21">
        <v>7011</v>
      </c>
      <c r="AB3" s="1" t="s">
        <v>21</v>
      </c>
      <c r="AC3" s="1">
        <v>4002</v>
      </c>
      <c r="AE3" s="1" t="s">
        <v>12</v>
      </c>
    </row>
    <row r="4" spans="1:33" x14ac:dyDescent="0.25">
      <c r="A4" s="21"/>
      <c r="B4" s="1" t="s">
        <v>1</v>
      </c>
      <c r="C4" s="1">
        <v>3426</v>
      </c>
      <c r="D4" s="1"/>
      <c r="E4" s="2">
        <f>_xlfn.STDEV.S(C3:C13)</f>
        <v>220.99243096869753</v>
      </c>
      <c r="F4" s="1"/>
      <c r="G4" s="1">
        <v>2979</v>
      </c>
      <c r="H4" s="1"/>
      <c r="I4" s="1"/>
      <c r="J4" s="1"/>
      <c r="K4" s="1"/>
      <c r="L4" s="1"/>
      <c r="N4" s="21"/>
      <c r="O4" s="1" t="s">
        <v>21</v>
      </c>
      <c r="P4" s="1">
        <v>3892</v>
      </c>
      <c r="R4" s="2">
        <f>_xlfn.STDEV.S(P3:P13)</f>
        <v>339.79788109992683</v>
      </c>
      <c r="T4" s="1">
        <v>5640</v>
      </c>
      <c r="AA4" s="21"/>
      <c r="AB4" s="1" t="s">
        <v>21</v>
      </c>
      <c r="AC4" s="1">
        <v>4270</v>
      </c>
      <c r="AE4" s="2">
        <f>_xlfn.STDEV.S(AC3:AC13)</f>
        <v>310.29376110682307</v>
      </c>
    </row>
    <row r="5" spans="1:33" x14ac:dyDescent="0.25">
      <c r="A5" s="21"/>
      <c r="B5" s="1" t="s">
        <v>1</v>
      </c>
      <c r="C5" s="1">
        <v>3267</v>
      </c>
      <c r="D5" s="1"/>
      <c r="E5" s="1"/>
      <c r="F5" s="1"/>
      <c r="G5" s="1">
        <v>3048</v>
      </c>
      <c r="H5" s="1"/>
      <c r="I5" s="1"/>
      <c r="J5" s="1"/>
      <c r="K5" s="1"/>
      <c r="L5" s="1"/>
      <c r="N5" s="21"/>
      <c r="O5" s="1" t="s">
        <v>21</v>
      </c>
      <c r="P5" s="1">
        <v>4121</v>
      </c>
      <c r="R5" s="1"/>
      <c r="T5" s="1">
        <v>5531</v>
      </c>
      <c r="AA5" s="21"/>
      <c r="AB5" s="1" t="s">
        <v>21</v>
      </c>
      <c r="AC5" s="1">
        <v>4160</v>
      </c>
      <c r="AE5" s="1"/>
    </row>
    <row r="6" spans="1:33" x14ac:dyDescent="0.25">
      <c r="A6" s="21"/>
      <c r="B6" s="1" t="s">
        <v>1</v>
      </c>
      <c r="C6" s="1">
        <v>3118</v>
      </c>
      <c r="D6" s="1"/>
      <c r="E6" s="1" t="s">
        <v>13</v>
      </c>
      <c r="F6" s="1"/>
      <c r="G6" s="1">
        <v>3108</v>
      </c>
      <c r="H6" s="1"/>
      <c r="I6" s="1"/>
      <c r="J6" s="1"/>
      <c r="K6" s="1"/>
      <c r="L6" s="1"/>
      <c r="N6" s="21"/>
      <c r="O6" s="1" t="s">
        <v>21</v>
      </c>
      <c r="P6" s="1">
        <v>3982</v>
      </c>
      <c r="R6" s="1" t="s">
        <v>13</v>
      </c>
      <c r="T6" s="1">
        <v>5283</v>
      </c>
      <c r="AA6" s="21"/>
      <c r="AB6" s="1" t="s">
        <v>21</v>
      </c>
      <c r="AC6" s="1">
        <v>4409</v>
      </c>
      <c r="AE6" s="1" t="s">
        <v>13</v>
      </c>
    </row>
    <row r="7" spans="1:33" x14ac:dyDescent="0.25">
      <c r="A7" s="21"/>
      <c r="B7" s="1" t="s">
        <v>1</v>
      </c>
      <c r="C7" s="1">
        <v>2979</v>
      </c>
      <c r="D7" s="1"/>
      <c r="E7" s="2">
        <f>AVERAGE(C3:C13)</f>
        <v>3268.6363636363635</v>
      </c>
      <c r="F7" s="1"/>
      <c r="G7" s="1">
        <v>3118</v>
      </c>
      <c r="H7" s="1"/>
      <c r="I7" s="1"/>
      <c r="J7" s="1"/>
      <c r="K7" s="1"/>
      <c r="L7" s="1"/>
      <c r="N7" s="21"/>
      <c r="O7" s="1" t="s">
        <v>21</v>
      </c>
      <c r="P7" s="1">
        <v>3863</v>
      </c>
      <c r="R7" s="2">
        <f>AVERAGE(P3:P13)</f>
        <v>4183</v>
      </c>
      <c r="T7" s="1">
        <v>5134</v>
      </c>
      <c r="AA7" s="21"/>
      <c r="AB7" s="1" t="s">
        <v>21</v>
      </c>
      <c r="AC7" s="1">
        <v>4210</v>
      </c>
      <c r="AE7" s="2">
        <f>AVERAGE(AC3:AC13)</f>
        <v>4235.272727272727</v>
      </c>
    </row>
    <row r="8" spans="1:33" x14ac:dyDescent="0.25">
      <c r="A8" s="21"/>
      <c r="B8" s="1" t="s">
        <v>1</v>
      </c>
      <c r="C8" s="1">
        <v>2899</v>
      </c>
      <c r="D8" s="1"/>
      <c r="F8" s="1"/>
      <c r="G8" s="1">
        <v>3118</v>
      </c>
      <c r="H8" s="1"/>
      <c r="I8" s="1"/>
      <c r="J8" s="1"/>
      <c r="K8" s="1"/>
      <c r="L8" s="1"/>
      <c r="N8" s="21"/>
      <c r="O8" s="1" t="s">
        <v>21</v>
      </c>
      <c r="P8" s="1">
        <v>4121</v>
      </c>
      <c r="T8" s="1">
        <v>4766</v>
      </c>
      <c r="AA8" s="21"/>
      <c r="AB8" s="1" t="s">
        <v>21</v>
      </c>
      <c r="AC8" s="1">
        <v>4011</v>
      </c>
    </row>
    <row r="9" spans="1:33" x14ac:dyDescent="0.25">
      <c r="A9" s="21"/>
      <c r="B9" s="1" t="s">
        <v>1</v>
      </c>
      <c r="C9" s="1">
        <v>3525</v>
      </c>
      <c r="D9" s="1"/>
      <c r="E9" s="1" t="s">
        <v>14</v>
      </c>
      <c r="F9" s="1"/>
      <c r="G9" s="1">
        <v>3148</v>
      </c>
      <c r="H9" s="1"/>
      <c r="I9" s="1"/>
      <c r="J9" s="1"/>
      <c r="K9" s="1"/>
      <c r="L9" s="1"/>
      <c r="N9" s="21"/>
      <c r="O9" s="1" t="s">
        <v>21</v>
      </c>
      <c r="P9" s="1">
        <v>4766</v>
      </c>
      <c r="R9" s="1" t="s">
        <v>14</v>
      </c>
      <c r="T9" s="1">
        <v>4726</v>
      </c>
      <c r="AA9" s="21"/>
      <c r="AB9" s="1" t="s">
        <v>21</v>
      </c>
      <c r="AC9" s="1">
        <v>3902</v>
      </c>
      <c r="AE9" s="1" t="s">
        <v>14</v>
      </c>
    </row>
    <row r="10" spans="1:33" x14ac:dyDescent="0.25">
      <c r="A10" s="21"/>
      <c r="B10" s="1" t="s">
        <v>1</v>
      </c>
      <c r="C10" s="1">
        <v>3356</v>
      </c>
      <c r="D10" s="1"/>
      <c r="E10" s="2">
        <f>MEDIAN(C3:C13)</f>
        <v>3267</v>
      </c>
      <c r="F10" s="1"/>
      <c r="G10" s="1">
        <v>3157</v>
      </c>
      <c r="H10" s="1"/>
      <c r="I10" s="1"/>
      <c r="J10" s="1"/>
      <c r="K10" s="1"/>
      <c r="L10" s="1"/>
      <c r="N10" s="21"/>
      <c r="O10" s="1" t="s">
        <v>21</v>
      </c>
      <c r="P10" s="1">
        <v>4627</v>
      </c>
      <c r="R10" s="2">
        <f>MEDIAN(P3:P13)</f>
        <v>4121</v>
      </c>
      <c r="T10" s="1">
        <v>4707</v>
      </c>
      <c r="AA10" s="21"/>
      <c r="AB10" s="1" t="s">
        <v>21</v>
      </c>
      <c r="AC10" s="1">
        <v>3763</v>
      </c>
      <c r="AE10" s="2">
        <f>MEDIAN(AC3:AC13)</f>
        <v>4210</v>
      </c>
    </row>
    <row r="11" spans="1:33" x14ac:dyDescent="0.25">
      <c r="A11" s="21"/>
      <c r="B11" s="1" t="s">
        <v>1</v>
      </c>
      <c r="C11" s="1">
        <v>3257</v>
      </c>
      <c r="D11" s="1"/>
      <c r="F11" s="1"/>
      <c r="G11" s="1">
        <v>3237</v>
      </c>
      <c r="H11" s="1"/>
      <c r="I11" s="1"/>
      <c r="J11" s="1"/>
      <c r="K11" s="1"/>
      <c r="L11" s="1"/>
      <c r="N11" s="21"/>
      <c r="O11" s="1" t="s">
        <v>21</v>
      </c>
      <c r="P11" s="1">
        <v>4468</v>
      </c>
      <c r="T11" s="1">
        <v>4697</v>
      </c>
      <c r="AA11" s="21"/>
      <c r="AB11" s="1" t="s">
        <v>21</v>
      </c>
      <c r="AC11" s="1">
        <v>4766</v>
      </c>
    </row>
    <row r="12" spans="1:33" x14ac:dyDescent="0.25">
      <c r="A12" s="21"/>
      <c r="B12" s="1" t="s">
        <v>1</v>
      </c>
      <c r="C12" s="1">
        <v>3118</v>
      </c>
      <c r="D12" s="1"/>
      <c r="E12" s="1" t="s">
        <v>15</v>
      </c>
      <c r="F12" s="1"/>
      <c r="G12" s="1">
        <v>3247</v>
      </c>
      <c r="H12" s="1"/>
      <c r="I12" s="1"/>
      <c r="J12" s="1"/>
      <c r="K12" s="1"/>
      <c r="L12" s="1"/>
      <c r="N12" s="21"/>
      <c r="O12" s="1" t="s">
        <v>21</v>
      </c>
      <c r="P12" s="1">
        <v>4329</v>
      </c>
      <c r="R12" s="1" t="s">
        <v>15</v>
      </c>
      <c r="T12" s="1">
        <v>4637</v>
      </c>
      <c r="AA12" s="21"/>
      <c r="AB12" s="1" t="s">
        <v>21</v>
      </c>
      <c r="AC12" s="1">
        <v>4617</v>
      </c>
      <c r="AE12" s="1" t="s">
        <v>15</v>
      </c>
    </row>
    <row r="13" spans="1:33" x14ac:dyDescent="0.25">
      <c r="A13" s="25"/>
      <c r="B13" s="3" t="s">
        <v>1</v>
      </c>
      <c r="C13" s="3">
        <v>3426</v>
      </c>
      <c r="D13" s="3"/>
      <c r="E13" s="4">
        <f>MAX(C3:C13)</f>
        <v>3584</v>
      </c>
      <c r="F13" s="3"/>
      <c r="G13" s="3">
        <v>3247</v>
      </c>
      <c r="H13" s="1"/>
      <c r="I13" s="1"/>
      <c r="J13" s="1"/>
      <c r="K13" s="1"/>
      <c r="L13" s="1"/>
      <c r="N13" s="25"/>
      <c r="O13" s="3" t="s">
        <v>21</v>
      </c>
      <c r="P13" s="3">
        <v>4190</v>
      </c>
      <c r="Q13" s="14"/>
      <c r="R13" s="4">
        <f>MAX(P3:P13)</f>
        <v>4766</v>
      </c>
      <c r="S13" s="14"/>
      <c r="T13" s="3">
        <v>4627</v>
      </c>
      <c r="AA13" s="25"/>
      <c r="AB13" s="3" t="s">
        <v>21</v>
      </c>
      <c r="AC13" s="3">
        <v>4478</v>
      </c>
      <c r="AD13" s="14"/>
      <c r="AE13" s="4">
        <f>MAX(AC3:AC13)</f>
        <v>4766</v>
      </c>
      <c r="AF13" s="14"/>
      <c r="AG13" s="14"/>
    </row>
    <row r="14" spans="1:33" x14ac:dyDescent="0.25">
      <c r="A14" s="21">
        <v>7009</v>
      </c>
      <c r="B14" s="1" t="s">
        <v>2</v>
      </c>
      <c r="C14" s="1">
        <v>3575</v>
      </c>
      <c r="D14" s="1"/>
      <c r="E14" s="1" t="s">
        <v>12</v>
      </c>
      <c r="F14" s="1"/>
      <c r="G14" s="1">
        <v>3257</v>
      </c>
      <c r="H14" s="1"/>
      <c r="I14" s="1"/>
      <c r="J14" s="1"/>
      <c r="K14" s="1"/>
      <c r="L14" s="1"/>
      <c r="N14" s="21">
        <v>8001</v>
      </c>
      <c r="O14" s="1" t="s">
        <v>16</v>
      </c>
      <c r="P14" s="1">
        <v>4707</v>
      </c>
      <c r="R14" s="11" t="s">
        <v>12</v>
      </c>
      <c r="T14" s="1">
        <v>4578</v>
      </c>
      <c r="AA14" s="21">
        <v>7012</v>
      </c>
      <c r="AB14" s="1" t="s">
        <v>16</v>
      </c>
      <c r="AC14" s="1">
        <v>4369</v>
      </c>
      <c r="AE14" s="1" t="s">
        <v>12</v>
      </c>
    </row>
    <row r="15" spans="1:33" x14ac:dyDescent="0.25">
      <c r="A15" s="21"/>
      <c r="B15" s="1" t="s">
        <v>2</v>
      </c>
      <c r="C15" s="1">
        <v>3376</v>
      </c>
      <c r="D15" s="1"/>
      <c r="E15" s="2">
        <f>_xlfn.STDEV.S(C14:C24)</f>
        <v>215.86721507782173</v>
      </c>
      <c r="F15" s="1"/>
      <c r="G15" s="1">
        <v>3267</v>
      </c>
      <c r="H15" s="1"/>
      <c r="I15" s="1"/>
      <c r="J15" s="1"/>
      <c r="K15" s="1"/>
      <c r="L15" s="1"/>
      <c r="N15" s="21"/>
      <c r="O15" s="1" t="s">
        <v>16</v>
      </c>
      <c r="P15" s="1">
        <v>4578</v>
      </c>
      <c r="R15" s="17">
        <f>_xlfn.STDEV.S(P14:P24)</f>
        <v>211.6077846995581</v>
      </c>
      <c r="T15" s="1">
        <v>4558</v>
      </c>
      <c r="AA15" s="21"/>
      <c r="AB15" s="1" t="s">
        <v>16</v>
      </c>
      <c r="AC15" s="1">
        <v>4250</v>
      </c>
      <c r="AE15" s="2">
        <f>_xlfn.STDEV.S(AC14:AC24)</f>
        <v>257.6861727690557</v>
      </c>
    </row>
    <row r="16" spans="1:33" x14ac:dyDescent="0.25">
      <c r="A16" s="21"/>
      <c r="B16" s="1" t="s">
        <v>2</v>
      </c>
      <c r="C16" s="1">
        <v>3267</v>
      </c>
      <c r="D16" s="1"/>
      <c r="E16" s="1"/>
      <c r="F16" s="1"/>
      <c r="G16" s="1">
        <v>3267</v>
      </c>
      <c r="H16" s="1"/>
      <c r="I16" s="1"/>
      <c r="J16" s="1"/>
      <c r="K16" s="1"/>
      <c r="L16" s="1"/>
      <c r="N16" s="21"/>
      <c r="O16" s="1" t="s">
        <v>16</v>
      </c>
      <c r="P16" s="1">
        <v>4409</v>
      </c>
      <c r="R16" s="11"/>
      <c r="T16" s="1">
        <v>4548</v>
      </c>
      <c r="AA16" s="21"/>
      <c r="AB16" s="1" t="s">
        <v>16</v>
      </c>
      <c r="AC16" s="1">
        <v>4518</v>
      </c>
      <c r="AE16" s="1"/>
    </row>
    <row r="17" spans="1:33" x14ac:dyDescent="0.25">
      <c r="A17" s="21"/>
      <c r="B17" s="1" t="s">
        <v>2</v>
      </c>
      <c r="C17" s="1">
        <v>3505</v>
      </c>
      <c r="D17" s="1"/>
      <c r="E17" s="1" t="s">
        <v>13</v>
      </c>
      <c r="F17" s="1"/>
      <c r="G17" s="1">
        <v>3267</v>
      </c>
      <c r="H17" s="1"/>
      <c r="I17" s="1"/>
      <c r="J17" s="1"/>
      <c r="K17" s="1"/>
      <c r="L17" s="1"/>
      <c r="N17" s="21"/>
      <c r="O17" s="1" t="s">
        <v>16</v>
      </c>
      <c r="P17" s="1">
        <v>4290</v>
      </c>
      <c r="R17" s="11" t="s">
        <v>13</v>
      </c>
      <c r="T17" s="1">
        <v>4538</v>
      </c>
      <c r="AA17" s="21"/>
      <c r="AB17" s="1" t="s">
        <v>16</v>
      </c>
      <c r="AC17" s="1">
        <v>4359</v>
      </c>
      <c r="AE17" s="1" t="s">
        <v>13</v>
      </c>
    </row>
    <row r="18" spans="1:33" x14ac:dyDescent="0.25">
      <c r="A18" s="21"/>
      <c r="B18" s="1" t="s">
        <v>2</v>
      </c>
      <c r="C18" s="1">
        <v>3396</v>
      </c>
      <c r="D18" s="1"/>
      <c r="E18" s="2">
        <f>AVERAGE(C14:C24)</f>
        <v>3380.6363636363635</v>
      </c>
      <c r="F18" s="1"/>
      <c r="G18" s="1">
        <v>3356</v>
      </c>
      <c r="H18" s="1"/>
      <c r="I18" s="1"/>
      <c r="J18" s="1"/>
      <c r="K18" s="1"/>
      <c r="L18" s="1"/>
      <c r="N18" s="21"/>
      <c r="O18" s="1" t="s">
        <v>16</v>
      </c>
      <c r="P18" s="1">
        <v>4548</v>
      </c>
      <c r="R18" s="17">
        <f>AVERAGE(P14:P24)</f>
        <v>4346.636363636364</v>
      </c>
      <c r="T18" s="1">
        <v>4538</v>
      </c>
      <c r="AA18" s="21"/>
      <c r="AB18" s="1" t="s">
        <v>16</v>
      </c>
      <c r="AC18" s="1">
        <v>4637</v>
      </c>
      <c r="AE18" s="2">
        <f>AVERAGE(AC14:AC24)</f>
        <v>4254.181818181818</v>
      </c>
    </row>
    <row r="19" spans="1:33" x14ac:dyDescent="0.25">
      <c r="A19" s="21"/>
      <c r="B19" s="1" t="s">
        <v>2</v>
      </c>
      <c r="C19" s="1">
        <v>3247</v>
      </c>
      <c r="D19" s="1"/>
      <c r="F19" s="1"/>
      <c r="G19" s="1">
        <v>3366</v>
      </c>
      <c r="H19" s="1"/>
      <c r="I19" s="1"/>
      <c r="J19" s="1"/>
      <c r="K19" s="1"/>
      <c r="L19" s="1"/>
      <c r="N19" s="21"/>
      <c r="O19" s="1" t="s">
        <v>16</v>
      </c>
      <c r="P19" s="1">
        <v>4419</v>
      </c>
      <c r="R19" s="18"/>
      <c r="T19" s="1">
        <v>4518</v>
      </c>
      <c r="AA19" s="21"/>
      <c r="AB19" s="1" t="s">
        <v>16</v>
      </c>
      <c r="AC19" s="1">
        <v>4438</v>
      </c>
    </row>
    <row r="20" spans="1:33" x14ac:dyDescent="0.25">
      <c r="A20" s="21"/>
      <c r="B20" s="1" t="s">
        <v>2</v>
      </c>
      <c r="C20" s="1">
        <v>3148</v>
      </c>
      <c r="D20" s="1"/>
      <c r="E20" s="1" t="s">
        <v>14</v>
      </c>
      <c r="F20" s="1"/>
      <c r="G20" s="1">
        <v>3376</v>
      </c>
      <c r="H20" s="1"/>
      <c r="I20" s="1"/>
      <c r="J20" s="1"/>
      <c r="K20" s="1"/>
      <c r="L20" s="1"/>
      <c r="N20" s="21"/>
      <c r="O20" s="1" t="s">
        <v>16</v>
      </c>
      <c r="P20" s="1">
        <v>4309</v>
      </c>
      <c r="R20" s="11" t="s">
        <v>14</v>
      </c>
      <c r="T20" s="1">
        <v>4468</v>
      </c>
      <c r="AA20" s="21"/>
      <c r="AB20" s="1" t="s">
        <v>16</v>
      </c>
      <c r="AC20" s="1">
        <v>4309</v>
      </c>
      <c r="AE20" s="1" t="s">
        <v>14</v>
      </c>
    </row>
    <row r="21" spans="1:33" x14ac:dyDescent="0.25">
      <c r="A21" s="21"/>
      <c r="B21" s="1" t="s">
        <v>2</v>
      </c>
      <c r="C21" s="1">
        <v>3048</v>
      </c>
      <c r="D21" s="1"/>
      <c r="E21" s="2">
        <f>MEDIAN(C14:C24)</f>
        <v>3376</v>
      </c>
      <c r="F21" s="1"/>
      <c r="G21" s="1">
        <v>3386</v>
      </c>
      <c r="H21" s="1"/>
      <c r="I21" s="1"/>
      <c r="J21" s="1"/>
      <c r="K21" s="1"/>
      <c r="L21" s="1"/>
      <c r="N21" s="21"/>
      <c r="O21" s="1" t="s">
        <v>16</v>
      </c>
      <c r="P21" s="1">
        <v>4131</v>
      </c>
      <c r="R21" s="17">
        <f>MEDIAN(P14:P24)</f>
        <v>4309</v>
      </c>
      <c r="T21" s="1">
        <v>4458</v>
      </c>
      <c r="AA21" s="21"/>
      <c r="AB21" s="1" t="s">
        <v>16</v>
      </c>
      <c r="AC21" s="1">
        <v>4150</v>
      </c>
      <c r="AE21" s="2">
        <f>MEDIAN(AC14:AC24)</f>
        <v>4309</v>
      </c>
    </row>
    <row r="22" spans="1:33" x14ac:dyDescent="0.25">
      <c r="A22" s="21"/>
      <c r="B22" s="1" t="s">
        <v>2</v>
      </c>
      <c r="C22" s="1">
        <v>3267</v>
      </c>
      <c r="D22" s="1"/>
      <c r="F22" s="1"/>
      <c r="G22" s="1">
        <v>3396</v>
      </c>
      <c r="H22" s="1"/>
      <c r="I22" s="1"/>
      <c r="J22" s="1"/>
      <c r="K22" s="1"/>
      <c r="L22" s="1"/>
      <c r="N22" s="21"/>
      <c r="O22" s="1" t="s">
        <v>16</v>
      </c>
      <c r="P22" s="1">
        <v>4011</v>
      </c>
      <c r="R22" s="18"/>
      <c r="T22" s="1">
        <v>4448</v>
      </c>
      <c r="AA22" s="21"/>
      <c r="AB22" s="1" t="s">
        <v>16</v>
      </c>
      <c r="AC22" s="1">
        <v>3942</v>
      </c>
    </row>
    <row r="23" spans="1:33" x14ac:dyDescent="0.25">
      <c r="A23" s="21"/>
      <c r="B23" s="1" t="s">
        <v>2</v>
      </c>
      <c r="C23" s="1">
        <v>3565</v>
      </c>
      <c r="D23" s="1"/>
      <c r="E23" s="1" t="s">
        <v>15</v>
      </c>
      <c r="F23" s="1"/>
      <c r="G23" s="1">
        <v>3426</v>
      </c>
      <c r="H23" s="1"/>
      <c r="I23" s="1"/>
      <c r="J23" s="1"/>
      <c r="K23" s="1"/>
      <c r="L23" s="1"/>
      <c r="N23" s="21"/>
      <c r="O23" s="1" t="s">
        <v>16</v>
      </c>
      <c r="P23" s="11">
        <v>4280</v>
      </c>
      <c r="R23" s="11" t="s">
        <v>15</v>
      </c>
      <c r="T23" s="1">
        <v>4438</v>
      </c>
      <c r="AA23" s="21"/>
      <c r="AB23" s="1" t="s">
        <v>16</v>
      </c>
      <c r="AC23" s="1">
        <v>3763</v>
      </c>
      <c r="AE23" s="1" t="s">
        <v>15</v>
      </c>
    </row>
    <row r="24" spans="1:33" x14ac:dyDescent="0.25">
      <c r="A24" s="25"/>
      <c r="B24" s="3" t="s">
        <v>2</v>
      </c>
      <c r="C24" s="3">
        <v>3793</v>
      </c>
      <c r="D24" s="3"/>
      <c r="E24" s="4">
        <f>MAX(C14:C24)</f>
        <v>3793</v>
      </c>
      <c r="F24" s="3"/>
      <c r="G24" s="3">
        <v>3426</v>
      </c>
      <c r="H24" s="1"/>
      <c r="I24" s="1"/>
      <c r="J24" s="1"/>
      <c r="K24" s="1"/>
      <c r="L24" s="1"/>
      <c r="N24" s="25"/>
      <c r="O24" s="3" t="s">
        <v>16</v>
      </c>
      <c r="P24" s="3">
        <v>4131</v>
      </c>
      <c r="Q24" s="14"/>
      <c r="R24" s="19">
        <f>MAX(P14:P24)</f>
        <v>4707</v>
      </c>
      <c r="S24" s="14"/>
      <c r="T24" s="3">
        <v>4419</v>
      </c>
      <c r="AA24" s="25"/>
      <c r="AB24" s="3" t="s">
        <v>16</v>
      </c>
      <c r="AC24" s="3">
        <v>4061</v>
      </c>
      <c r="AD24" s="14"/>
      <c r="AE24" s="4">
        <f>MAX(AC14:AC24)</f>
        <v>4637</v>
      </c>
      <c r="AF24" s="14"/>
      <c r="AG24" s="14"/>
    </row>
    <row r="25" spans="1:33" x14ac:dyDescent="0.25">
      <c r="A25" s="21">
        <v>7010</v>
      </c>
      <c r="B25" s="1" t="s">
        <v>3</v>
      </c>
      <c r="C25" s="1">
        <v>3515</v>
      </c>
      <c r="D25" s="1"/>
      <c r="E25" s="6" t="s">
        <v>12</v>
      </c>
      <c r="F25" s="1"/>
      <c r="G25" s="1">
        <v>3505</v>
      </c>
      <c r="H25" s="1"/>
      <c r="I25" s="1"/>
      <c r="J25" s="1"/>
      <c r="K25" s="1"/>
      <c r="L25" s="1"/>
      <c r="N25" s="21">
        <v>8002</v>
      </c>
      <c r="O25" s="1" t="s">
        <v>17</v>
      </c>
      <c r="P25" s="1">
        <v>3505</v>
      </c>
      <c r="R25" s="1" t="s">
        <v>12</v>
      </c>
      <c r="T25" s="1">
        <v>4419</v>
      </c>
      <c r="AA25" s="21">
        <v>7013</v>
      </c>
      <c r="AB25" s="1" t="s">
        <v>17</v>
      </c>
      <c r="AC25" s="1">
        <v>1976</v>
      </c>
      <c r="AE25" s="1" t="s">
        <v>12</v>
      </c>
    </row>
    <row r="26" spans="1:33" x14ac:dyDescent="0.25">
      <c r="A26" s="21"/>
      <c r="B26" s="1" t="s">
        <v>3</v>
      </c>
      <c r="C26" s="1">
        <v>3366</v>
      </c>
      <c r="D26" s="1"/>
      <c r="E26" s="7">
        <f>_xlfn.STDEV.S(C25:C35)</f>
        <v>448.12617947099665</v>
      </c>
      <c r="F26" s="1"/>
      <c r="G26" s="1">
        <v>3515</v>
      </c>
      <c r="H26" s="1"/>
      <c r="I26" s="1"/>
      <c r="J26" s="1"/>
      <c r="K26" s="1"/>
      <c r="L26" s="1"/>
      <c r="N26" s="21"/>
      <c r="O26" s="1" t="s">
        <v>17</v>
      </c>
      <c r="P26" s="1">
        <v>3793</v>
      </c>
      <c r="R26" s="2">
        <f>_xlfn.STDEV.S(P25:P35)</f>
        <v>285.94929620476427</v>
      </c>
      <c r="T26" s="1">
        <v>4409</v>
      </c>
      <c r="AA26" s="21"/>
      <c r="AB26" s="1" t="s">
        <v>17</v>
      </c>
      <c r="AC26" s="1">
        <v>1817</v>
      </c>
      <c r="AE26" s="2">
        <f>_xlfn.STDEV.S(AC25:AC35)</f>
        <v>603.17544560585247</v>
      </c>
    </row>
    <row r="27" spans="1:33" x14ac:dyDescent="0.25">
      <c r="A27" s="21"/>
      <c r="B27" s="1" t="s">
        <v>3</v>
      </c>
      <c r="C27" s="1">
        <v>3237</v>
      </c>
      <c r="D27" s="1"/>
      <c r="E27" s="6"/>
      <c r="F27" s="1"/>
      <c r="G27" s="1">
        <v>3515</v>
      </c>
      <c r="H27" s="1"/>
      <c r="I27" s="1"/>
      <c r="J27" s="1"/>
      <c r="K27" s="1"/>
      <c r="L27" s="1"/>
      <c r="N27" s="21"/>
      <c r="O27" s="1" t="s">
        <v>17</v>
      </c>
      <c r="P27" s="1">
        <v>3723</v>
      </c>
      <c r="R27" s="1"/>
      <c r="T27" s="1">
        <v>4369</v>
      </c>
      <c r="AA27" s="21"/>
      <c r="AB27" s="1" t="s">
        <v>17</v>
      </c>
      <c r="AC27" s="1">
        <v>3207</v>
      </c>
      <c r="AE27" s="1"/>
    </row>
    <row r="28" spans="1:33" x14ac:dyDescent="0.25">
      <c r="A28" s="21"/>
      <c r="B28" s="1" t="s">
        <v>3</v>
      </c>
      <c r="C28" s="1">
        <v>3157</v>
      </c>
      <c r="D28" s="1"/>
      <c r="E28" s="6" t="s">
        <v>13</v>
      </c>
      <c r="F28" s="1"/>
      <c r="G28" s="1">
        <v>3525</v>
      </c>
      <c r="H28" s="1"/>
      <c r="I28" s="1"/>
      <c r="J28" s="1"/>
      <c r="K28" s="1"/>
      <c r="L28" s="1"/>
      <c r="N28" s="21"/>
      <c r="O28" s="1" t="s">
        <v>17</v>
      </c>
      <c r="P28" s="1">
        <v>3952</v>
      </c>
      <c r="R28" s="1" t="s">
        <v>13</v>
      </c>
      <c r="T28" s="1">
        <v>4339</v>
      </c>
      <c r="AA28" s="21"/>
      <c r="AB28" s="1" t="s">
        <v>17</v>
      </c>
      <c r="AC28" s="1">
        <v>3396</v>
      </c>
      <c r="AE28" s="1" t="s">
        <v>13</v>
      </c>
    </row>
    <row r="29" spans="1:33" x14ac:dyDescent="0.25">
      <c r="A29" s="21"/>
      <c r="B29" s="1" t="s">
        <v>3</v>
      </c>
      <c r="C29" s="1">
        <v>3793</v>
      </c>
      <c r="D29" s="1"/>
      <c r="E29" s="7">
        <f>AVERAGE(C25:C35)</f>
        <v>3834.5454545454545</v>
      </c>
      <c r="F29" s="1"/>
      <c r="G29" s="1">
        <v>3565</v>
      </c>
      <c r="H29" s="1"/>
      <c r="I29" s="1"/>
      <c r="J29" s="1"/>
      <c r="N29" s="21"/>
      <c r="O29" s="1" t="s">
        <v>17</v>
      </c>
      <c r="P29" s="1">
        <v>4200</v>
      </c>
      <c r="R29" s="2">
        <f>AVERAGE(P25:P35)</f>
        <v>3976</v>
      </c>
      <c r="T29" s="1">
        <v>4339</v>
      </c>
      <c r="AA29" s="21"/>
      <c r="AB29" s="1" t="s">
        <v>17</v>
      </c>
      <c r="AC29" s="1">
        <v>3296</v>
      </c>
      <c r="AE29" s="2">
        <f>AVERAGE(AC25:AC35)</f>
        <v>3080.7272727272725</v>
      </c>
    </row>
    <row r="30" spans="1:33" x14ac:dyDescent="0.25">
      <c r="A30" s="21"/>
      <c r="B30" s="1" t="s">
        <v>3</v>
      </c>
      <c r="C30" s="1">
        <v>4091</v>
      </c>
      <c r="D30" s="1"/>
      <c r="E30" s="8"/>
      <c r="F30" s="1"/>
      <c r="G30" s="1">
        <v>3575</v>
      </c>
      <c r="H30" s="1"/>
      <c r="I30" s="1"/>
      <c r="J30" s="1"/>
      <c r="N30" s="21"/>
      <c r="O30" s="1" t="s">
        <v>17</v>
      </c>
      <c r="P30" s="1">
        <v>4448</v>
      </c>
      <c r="T30" s="1">
        <v>4329</v>
      </c>
      <c r="AA30" s="21"/>
      <c r="AB30" s="1" t="s">
        <v>17</v>
      </c>
      <c r="AC30" s="1">
        <v>3148</v>
      </c>
    </row>
    <row r="31" spans="1:33" x14ac:dyDescent="0.25">
      <c r="A31" s="21"/>
      <c r="B31" s="1" t="s">
        <v>3</v>
      </c>
      <c r="C31" s="1">
        <v>3982</v>
      </c>
      <c r="D31" s="1"/>
      <c r="E31" s="6" t="s">
        <v>14</v>
      </c>
      <c r="F31" s="1"/>
      <c r="G31" s="1">
        <v>3584</v>
      </c>
      <c r="H31" s="1"/>
      <c r="I31" s="1"/>
      <c r="J31" s="1"/>
      <c r="N31" s="21"/>
      <c r="O31" s="1" t="s">
        <v>17</v>
      </c>
      <c r="P31" s="1">
        <v>4309</v>
      </c>
      <c r="R31" s="1" t="s">
        <v>14</v>
      </c>
      <c r="T31" s="1">
        <v>4319</v>
      </c>
      <c r="V31" s="21" t="s">
        <v>11</v>
      </c>
      <c r="W31" s="22"/>
      <c r="X31" s="23" t="s">
        <v>14</v>
      </c>
      <c r="Y31" s="21"/>
      <c r="AA31" s="21"/>
      <c r="AB31" s="1" t="s">
        <v>17</v>
      </c>
      <c r="AC31" s="1">
        <v>3336</v>
      </c>
      <c r="AE31" s="1" t="s">
        <v>14</v>
      </c>
    </row>
    <row r="32" spans="1:33" x14ac:dyDescent="0.25">
      <c r="A32" s="21"/>
      <c r="B32" s="1" t="s">
        <v>3</v>
      </c>
      <c r="C32" s="1">
        <v>4230</v>
      </c>
      <c r="D32" s="1"/>
      <c r="E32" s="7">
        <f>MEDIAN(C25:C35)</f>
        <v>3982</v>
      </c>
      <c r="F32" s="1"/>
      <c r="G32" s="1">
        <v>3594</v>
      </c>
      <c r="H32" s="1"/>
      <c r="I32" s="1"/>
      <c r="J32" s="1"/>
      <c r="K32" s="1"/>
      <c r="L32" s="1"/>
      <c r="N32" s="21"/>
      <c r="O32" s="1" t="s">
        <v>17</v>
      </c>
      <c r="P32" s="1">
        <v>4180</v>
      </c>
      <c r="R32" s="2">
        <f>MEDIAN(P25:P35)</f>
        <v>3952</v>
      </c>
      <c r="T32" s="1">
        <v>4309</v>
      </c>
      <c r="V32" s="20">
        <f>P71</f>
        <v>4308.742424242424</v>
      </c>
      <c r="W32" s="13">
        <f>V32-T32</f>
        <v>-0.25757575757597806</v>
      </c>
      <c r="X32" s="20">
        <f>P72</f>
        <v>4275</v>
      </c>
      <c r="Y32" s="1">
        <f>ABS(X32-T35)</f>
        <v>5</v>
      </c>
      <c r="AA32" s="21"/>
      <c r="AB32" s="1" t="s">
        <v>17</v>
      </c>
      <c r="AC32" s="1">
        <v>3207</v>
      </c>
      <c r="AE32" s="2">
        <f>MEDIAN(AC25:AC35)</f>
        <v>3296</v>
      </c>
    </row>
    <row r="33" spans="1:33" x14ac:dyDescent="0.25">
      <c r="A33" s="21"/>
      <c r="B33" s="1" t="s">
        <v>3</v>
      </c>
      <c r="C33" s="1">
        <v>4438</v>
      </c>
      <c r="D33" s="1"/>
      <c r="E33" s="8"/>
      <c r="F33" s="1"/>
      <c r="G33" s="1">
        <v>3604</v>
      </c>
      <c r="H33" s="1"/>
      <c r="I33" s="1"/>
      <c r="J33" s="1"/>
      <c r="K33" s="1"/>
      <c r="L33" s="1"/>
      <c r="N33" s="21"/>
      <c r="O33" s="1" t="s">
        <v>17</v>
      </c>
      <c r="P33" s="1">
        <v>4011</v>
      </c>
      <c r="T33" s="1">
        <v>4309</v>
      </c>
      <c r="V33" s="21"/>
      <c r="W33" s="13">
        <f>V32-T34</f>
        <v>18.742424242424022</v>
      </c>
      <c r="X33" s="21"/>
      <c r="Y33" s="1">
        <f>ABS(X32-T36)</f>
        <v>5</v>
      </c>
      <c r="AA33" s="21"/>
      <c r="AB33" s="1" t="s">
        <v>17</v>
      </c>
      <c r="AC33" s="1">
        <v>3485</v>
      </c>
    </row>
    <row r="34" spans="1:33" x14ac:dyDescent="0.25">
      <c r="A34" s="21"/>
      <c r="B34" s="1" t="s">
        <v>3</v>
      </c>
      <c r="C34" s="1">
        <v>4270</v>
      </c>
      <c r="D34" s="1"/>
      <c r="E34" s="6" t="s">
        <v>15</v>
      </c>
      <c r="F34" s="1"/>
      <c r="G34" s="1">
        <v>3604</v>
      </c>
      <c r="H34" s="1"/>
      <c r="I34" s="1" t="s">
        <v>11</v>
      </c>
      <c r="J34" s="12"/>
      <c r="K34" s="1" t="s">
        <v>14</v>
      </c>
      <c r="N34" s="21"/>
      <c r="O34" s="1" t="s">
        <v>17</v>
      </c>
      <c r="P34" s="1">
        <v>3892</v>
      </c>
      <c r="R34" s="1" t="s">
        <v>15</v>
      </c>
      <c r="T34" s="1">
        <v>4290</v>
      </c>
      <c r="AA34" s="21"/>
      <c r="AB34" s="1" t="s">
        <v>17</v>
      </c>
      <c r="AC34" s="1">
        <v>3366</v>
      </c>
      <c r="AE34" s="1" t="s">
        <v>15</v>
      </c>
    </row>
    <row r="35" spans="1:33" x14ac:dyDescent="0.25">
      <c r="A35" s="25"/>
      <c r="B35" s="3" t="s">
        <v>3</v>
      </c>
      <c r="C35" s="3">
        <v>4101</v>
      </c>
      <c r="D35" s="3"/>
      <c r="E35" s="9">
        <f>MAX(C25:C35)</f>
        <v>4438</v>
      </c>
      <c r="F35" s="3"/>
      <c r="G35" s="3">
        <v>3684</v>
      </c>
      <c r="H35" s="1"/>
      <c r="I35" s="20">
        <f>C71</f>
        <v>3694.651515151515</v>
      </c>
      <c r="J35" s="13">
        <f>I35-G35</f>
        <v>10.651515151515014</v>
      </c>
      <c r="K35" s="20">
        <f>C72</f>
        <v>3708.5</v>
      </c>
      <c r="L35" s="1">
        <f>ABS(K35-G35)</f>
        <v>24.5</v>
      </c>
      <c r="N35" s="25"/>
      <c r="O35" s="3" t="s">
        <v>17</v>
      </c>
      <c r="P35" s="3">
        <v>3723</v>
      </c>
      <c r="Q35" s="14"/>
      <c r="R35" s="4">
        <f>MAX(P25:P35)</f>
        <v>4448</v>
      </c>
      <c r="S35" s="14"/>
      <c r="T35" s="3">
        <v>4280</v>
      </c>
      <c r="AA35" s="25"/>
      <c r="AB35" s="3" t="s">
        <v>17</v>
      </c>
      <c r="AC35" s="3">
        <v>3654</v>
      </c>
      <c r="AD35" s="14"/>
      <c r="AE35" s="4">
        <f>MAX(AC25:AC35)</f>
        <v>3654</v>
      </c>
      <c r="AF35" s="14"/>
      <c r="AG35" s="14"/>
    </row>
    <row r="36" spans="1:33" x14ac:dyDescent="0.25">
      <c r="A36" s="21">
        <v>7005</v>
      </c>
      <c r="B36" s="1" t="s">
        <v>16</v>
      </c>
      <c r="C36" s="1">
        <v>3604</v>
      </c>
      <c r="E36" s="6" t="s">
        <v>12</v>
      </c>
      <c r="G36" s="1">
        <v>3733</v>
      </c>
      <c r="I36" s="21"/>
      <c r="J36" s="13">
        <f>I35-G36</f>
        <v>-38.348484848484986</v>
      </c>
      <c r="K36" s="21"/>
      <c r="L36" s="1">
        <f>ABS(K35-G36)</f>
        <v>24.5</v>
      </c>
      <c r="N36" s="21">
        <v>8003</v>
      </c>
      <c r="O36" s="1" t="s">
        <v>18</v>
      </c>
      <c r="P36" s="1">
        <v>3912</v>
      </c>
      <c r="R36" s="1" t="s">
        <v>12</v>
      </c>
      <c r="T36" s="1">
        <v>4270</v>
      </c>
      <c r="AA36" s="21">
        <v>7014</v>
      </c>
      <c r="AB36" s="1" t="s">
        <v>18</v>
      </c>
      <c r="AC36" s="1">
        <v>2711</v>
      </c>
      <c r="AE36" s="1" t="s">
        <v>12</v>
      </c>
    </row>
    <row r="37" spans="1:33" x14ac:dyDescent="0.25">
      <c r="A37" s="21"/>
      <c r="B37" s="1" t="s">
        <v>16</v>
      </c>
      <c r="C37" s="1">
        <v>3843</v>
      </c>
      <c r="E37" s="7">
        <f>_xlfn.STDEV.S(C36:C46)</f>
        <v>257.60078345448335</v>
      </c>
      <c r="G37" s="1">
        <v>3733</v>
      </c>
      <c r="N37" s="21"/>
      <c r="O37" s="1" t="s">
        <v>18</v>
      </c>
      <c r="P37" s="1">
        <v>4170</v>
      </c>
      <c r="R37" s="2">
        <f>_xlfn.STDEV.S(P36:P46)</f>
        <v>720.9926868876363</v>
      </c>
      <c r="T37" s="1">
        <v>4230</v>
      </c>
      <c r="AA37" s="21"/>
      <c r="AB37" s="1" t="s">
        <v>18</v>
      </c>
      <c r="AC37" s="1">
        <v>2979</v>
      </c>
      <c r="AE37" s="2">
        <f>_xlfn.STDEV.S(AC36:AC46)</f>
        <v>730.48988543803398</v>
      </c>
    </row>
    <row r="38" spans="1:33" x14ac:dyDescent="0.25">
      <c r="A38" s="21"/>
      <c r="B38" s="1" t="s">
        <v>16</v>
      </c>
      <c r="C38" s="1">
        <v>4061</v>
      </c>
      <c r="D38" s="2"/>
      <c r="E38" s="6"/>
      <c r="G38" s="1">
        <v>3743</v>
      </c>
      <c r="N38" s="21"/>
      <c r="O38" s="1" t="s">
        <v>18</v>
      </c>
      <c r="P38" s="1">
        <v>4011</v>
      </c>
      <c r="R38" s="1"/>
      <c r="T38" s="1">
        <v>4210</v>
      </c>
      <c r="AA38" s="21"/>
      <c r="AB38" s="1" t="s">
        <v>18</v>
      </c>
      <c r="AC38" s="1">
        <v>2850</v>
      </c>
      <c r="AE38" s="1"/>
    </row>
    <row r="39" spans="1:33" x14ac:dyDescent="0.25">
      <c r="A39" s="21"/>
      <c r="B39" s="1" t="s">
        <v>16</v>
      </c>
      <c r="C39" s="1">
        <v>4299</v>
      </c>
      <c r="D39" s="2"/>
      <c r="E39" s="6" t="s">
        <v>13</v>
      </c>
      <c r="F39" s="1"/>
      <c r="G39" s="1">
        <v>3783</v>
      </c>
      <c r="N39" s="21"/>
      <c r="O39" s="1" t="s">
        <v>18</v>
      </c>
      <c r="P39" s="1">
        <v>3922</v>
      </c>
      <c r="R39" s="1" t="s">
        <v>13</v>
      </c>
      <c r="T39" s="1">
        <v>4200</v>
      </c>
      <c r="AA39" s="21"/>
      <c r="AB39" s="1" t="s">
        <v>18</v>
      </c>
      <c r="AC39" s="1">
        <v>3863</v>
      </c>
      <c r="AE39" s="1" t="s">
        <v>13</v>
      </c>
    </row>
    <row r="40" spans="1:33" x14ac:dyDescent="0.25">
      <c r="A40" s="21"/>
      <c r="B40" s="1" t="s">
        <v>16</v>
      </c>
      <c r="C40" s="1">
        <v>4190</v>
      </c>
      <c r="D40" s="2"/>
      <c r="E40" s="7">
        <f>AVERAGE(C36:C46)</f>
        <v>4052.818181818182</v>
      </c>
      <c r="F40" s="1"/>
      <c r="G40" s="1">
        <v>3793</v>
      </c>
      <c r="N40" s="21"/>
      <c r="O40" s="1" t="s">
        <v>18</v>
      </c>
      <c r="P40" s="1">
        <v>4538</v>
      </c>
      <c r="R40" s="2">
        <f>AVERAGE(P36:P46)</f>
        <v>4783.363636363636</v>
      </c>
      <c r="T40" s="1">
        <v>4190</v>
      </c>
      <c r="AA40" s="21"/>
      <c r="AB40" s="1" t="s">
        <v>18</v>
      </c>
      <c r="AC40" s="1">
        <v>4141</v>
      </c>
      <c r="AE40" s="2">
        <f>AVERAGE(AC36:AC46)</f>
        <v>3910.5454545454545</v>
      </c>
    </row>
    <row r="41" spans="1:33" x14ac:dyDescent="0.25">
      <c r="A41" s="21"/>
      <c r="B41" s="1" t="s">
        <v>16</v>
      </c>
      <c r="C41" s="1">
        <v>4448</v>
      </c>
      <c r="D41" s="2"/>
      <c r="E41" s="8"/>
      <c r="F41" s="1"/>
      <c r="G41" s="1">
        <v>3793</v>
      </c>
      <c r="N41" s="21"/>
      <c r="O41" s="1" t="s">
        <v>18</v>
      </c>
      <c r="P41" s="1">
        <v>4697</v>
      </c>
      <c r="T41" s="1">
        <v>4180</v>
      </c>
      <c r="AA41" s="21"/>
      <c r="AB41" s="1" t="s">
        <v>18</v>
      </c>
      <c r="AC41" s="1">
        <v>3922</v>
      </c>
    </row>
    <row r="42" spans="1:33" x14ac:dyDescent="0.25">
      <c r="A42" s="21"/>
      <c r="B42" s="1" t="s">
        <v>16</v>
      </c>
      <c r="C42" s="1">
        <v>4299</v>
      </c>
      <c r="D42" s="1"/>
      <c r="E42" s="6" t="s">
        <v>14</v>
      </c>
      <c r="F42" s="1"/>
      <c r="G42" s="1">
        <v>3793</v>
      </c>
      <c r="N42" s="21"/>
      <c r="O42" s="1" t="s">
        <v>18</v>
      </c>
      <c r="P42" s="1">
        <v>5779</v>
      </c>
      <c r="R42" s="1" t="s">
        <v>14</v>
      </c>
      <c r="T42" s="1">
        <v>4170</v>
      </c>
      <c r="AA42" s="21"/>
      <c r="AB42" s="1" t="s">
        <v>18</v>
      </c>
      <c r="AC42" s="1">
        <v>4548</v>
      </c>
      <c r="AE42" s="1" t="s">
        <v>14</v>
      </c>
    </row>
    <row r="43" spans="1:33" x14ac:dyDescent="0.25">
      <c r="A43" s="21"/>
      <c r="B43" s="1" t="s">
        <v>16</v>
      </c>
      <c r="C43" s="1">
        <v>4180</v>
      </c>
      <c r="D43" s="1"/>
      <c r="E43" s="7">
        <f>MEDIAN(C36:C46)</f>
        <v>4061</v>
      </c>
      <c r="F43" s="1"/>
      <c r="G43" s="1">
        <v>3803</v>
      </c>
      <c r="N43" s="21"/>
      <c r="O43" s="1" t="s">
        <v>18</v>
      </c>
      <c r="P43" s="1">
        <v>5640</v>
      </c>
      <c r="R43" s="2">
        <f>MEDIAN(P36:P46)</f>
        <v>4697</v>
      </c>
      <c r="T43" s="1">
        <v>4140</v>
      </c>
      <c r="AA43" s="21"/>
      <c r="AB43" s="1" t="s">
        <v>18</v>
      </c>
      <c r="AC43" s="1">
        <v>4438</v>
      </c>
      <c r="AE43" s="2">
        <f>MEDIAN(AC36:AC46)</f>
        <v>4141</v>
      </c>
    </row>
    <row r="44" spans="1:33" x14ac:dyDescent="0.25">
      <c r="A44" s="21"/>
      <c r="B44" s="1" t="s">
        <v>16</v>
      </c>
      <c r="C44" s="1">
        <v>3992</v>
      </c>
      <c r="D44" s="1"/>
      <c r="E44" s="8"/>
      <c r="F44" s="1"/>
      <c r="G44" s="1">
        <v>3843</v>
      </c>
      <c r="N44" s="21"/>
      <c r="O44" s="1" t="s">
        <v>18</v>
      </c>
      <c r="P44" s="1">
        <v>5531</v>
      </c>
      <c r="T44" s="1">
        <v>4131</v>
      </c>
      <c r="AA44" s="21"/>
      <c r="AB44" s="1" t="s">
        <v>18</v>
      </c>
      <c r="AC44" s="1">
        <v>4359</v>
      </c>
    </row>
    <row r="45" spans="1:33" x14ac:dyDescent="0.25">
      <c r="A45" s="21"/>
      <c r="B45" s="1" t="s">
        <v>16</v>
      </c>
      <c r="C45" s="1">
        <v>3882</v>
      </c>
      <c r="D45" s="1"/>
      <c r="E45" s="6" t="s">
        <v>15</v>
      </c>
      <c r="F45" s="1"/>
      <c r="G45" s="1">
        <v>3843</v>
      </c>
      <c r="N45" s="21"/>
      <c r="O45" s="1" t="s">
        <v>18</v>
      </c>
      <c r="P45" s="1">
        <v>5283</v>
      </c>
      <c r="R45" s="1" t="s">
        <v>15</v>
      </c>
      <c r="T45" s="1">
        <v>4131</v>
      </c>
      <c r="AA45" s="21"/>
      <c r="AB45" s="1" t="s">
        <v>18</v>
      </c>
      <c r="AC45" s="1">
        <v>4657</v>
      </c>
      <c r="AE45" s="1" t="s">
        <v>15</v>
      </c>
    </row>
    <row r="46" spans="1:33" x14ac:dyDescent="0.25">
      <c r="A46" s="25"/>
      <c r="B46" s="3" t="s">
        <v>16</v>
      </c>
      <c r="C46" s="3">
        <v>3783</v>
      </c>
      <c r="D46" s="3"/>
      <c r="E46" s="9">
        <f>MAX(C36:C46)</f>
        <v>4448</v>
      </c>
      <c r="F46" s="3"/>
      <c r="G46" s="3">
        <v>3853</v>
      </c>
      <c r="N46" s="25"/>
      <c r="O46" s="3" t="s">
        <v>18</v>
      </c>
      <c r="P46" s="3">
        <v>5134</v>
      </c>
      <c r="Q46" s="14"/>
      <c r="R46" s="4">
        <f>MAX(P36:P46)</f>
        <v>5779</v>
      </c>
      <c r="S46" s="14"/>
      <c r="T46" s="3">
        <v>4121</v>
      </c>
      <c r="AA46" s="25"/>
      <c r="AB46" s="3" t="s">
        <v>18</v>
      </c>
      <c r="AC46" s="3">
        <v>4548</v>
      </c>
      <c r="AD46" s="14"/>
      <c r="AE46" s="4">
        <f>MAX(AC36:AC46)</f>
        <v>4657</v>
      </c>
      <c r="AF46" s="14"/>
      <c r="AG46" s="14"/>
    </row>
    <row r="47" spans="1:33" x14ac:dyDescent="0.25">
      <c r="A47" s="21">
        <v>7006</v>
      </c>
      <c r="B47" s="1" t="s">
        <v>17</v>
      </c>
      <c r="C47" s="1">
        <v>3962</v>
      </c>
      <c r="D47" s="1"/>
      <c r="E47" s="6" t="s">
        <v>12</v>
      </c>
      <c r="F47" s="1"/>
      <c r="G47" s="1">
        <v>3882</v>
      </c>
      <c r="N47" s="21">
        <v>8004</v>
      </c>
      <c r="O47" s="1" t="s">
        <v>1</v>
      </c>
      <c r="P47" s="1">
        <v>4011</v>
      </c>
      <c r="R47" s="1" t="s">
        <v>12</v>
      </c>
      <c r="T47" s="1">
        <v>4121</v>
      </c>
      <c r="AA47" s="21">
        <v>7015</v>
      </c>
      <c r="AB47" s="1" t="s">
        <v>1</v>
      </c>
      <c r="AC47" s="1">
        <v>3475</v>
      </c>
      <c r="AE47" s="1" t="s">
        <v>12</v>
      </c>
    </row>
    <row r="48" spans="1:33" x14ac:dyDescent="0.25">
      <c r="A48" s="21"/>
      <c r="B48" s="1" t="s">
        <v>17</v>
      </c>
      <c r="C48" s="1">
        <v>3843</v>
      </c>
      <c r="D48" s="1"/>
      <c r="E48" s="7">
        <f>_xlfn.STDEV.S(C47:C57)</f>
        <v>304.7751481159363</v>
      </c>
      <c r="F48" s="1"/>
      <c r="G48" s="1">
        <v>3942</v>
      </c>
      <c r="N48" s="21"/>
      <c r="O48" s="1" t="s">
        <v>1</v>
      </c>
      <c r="P48" s="1">
        <v>4270</v>
      </c>
      <c r="R48" s="2">
        <f>_xlfn.STDEV.S(P47:P57)</f>
        <v>309.67863107656382</v>
      </c>
      <c r="T48" s="1">
        <v>4041</v>
      </c>
      <c r="AA48" s="21"/>
      <c r="AB48" s="1" t="s">
        <v>1</v>
      </c>
      <c r="AC48" s="1">
        <v>3346</v>
      </c>
      <c r="AE48" s="2">
        <f>_xlfn.STDEV.S(AC47:AC57)</f>
        <v>360.25665093854212</v>
      </c>
    </row>
    <row r="49" spans="1:33" x14ac:dyDescent="0.25">
      <c r="A49" s="21"/>
      <c r="B49" s="1" t="s">
        <v>17</v>
      </c>
      <c r="C49" s="1">
        <v>4101</v>
      </c>
      <c r="D49" s="1"/>
      <c r="E49" s="6"/>
      <c r="F49" s="1"/>
      <c r="G49" s="1">
        <v>3962</v>
      </c>
      <c r="N49" s="21"/>
      <c r="O49" s="1" t="s">
        <v>1</v>
      </c>
      <c r="P49" s="1">
        <v>4518</v>
      </c>
      <c r="R49" s="1"/>
      <c r="T49" s="1">
        <v>4031</v>
      </c>
      <c r="AA49" s="21"/>
      <c r="AB49" s="1" t="s">
        <v>1</v>
      </c>
      <c r="AC49" s="1">
        <v>3952</v>
      </c>
      <c r="AE49" s="1"/>
    </row>
    <row r="50" spans="1:33" x14ac:dyDescent="0.25">
      <c r="A50" s="21"/>
      <c r="B50" s="1" t="s">
        <v>17</v>
      </c>
      <c r="C50" s="1">
        <v>3962</v>
      </c>
      <c r="D50" s="1"/>
      <c r="E50" s="6" t="s">
        <v>13</v>
      </c>
      <c r="F50" s="1"/>
      <c r="G50" s="1">
        <v>3962</v>
      </c>
      <c r="N50" s="21"/>
      <c r="O50" s="1" t="s">
        <v>1</v>
      </c>
      <c r="P50" s="1">
        <v>4726</v>
      </c>
      <c r="R50" s="1" t="s">
        <v>13</v>
      </c>
      <c r="T50" s="1">
        <v>4011</v>
      </c>
      <c r="AA50" s="21"/>
      <c r="AB50" s="1" t="s">
        <v>1</v>
      </c>
      <c r="AC50" s="1">
        <v>4270</v>
      </c>
      <c r="AE50" s="1" t="s">
        <v>13</v>
      </c>
    </row>
    <row r="51" spans="1:33" x14ac:dyDescent="0.25">
      <c r="A51" s="21"/>
      <c r="B51" s="1" t="s">
        <v>17</v>
      </c>
      <c r="C51" s="1">
        <v>3853</v>
      </c>
      <c r="D51" s="1"/>
      <c r="E51" s="7">
        <f>AVERAGE(C47:C57)</f>
        <v>4054.090909090909</v>
      </c>
      <c r="F51" s="1"/>
      <c r="G51" s="1">
        <v>3982</v>
      </c>
      <c r="N51" s="21"/>
      <c r="O51" s="1" t="s">
        <v>1</v>
      </c>
      <c r="P51" s="1">
        <v>4637</v>
      </c>
      <c r="R51" s="2">
        <f>AVERAGE(P47:P57)</f>
        <v>4261.363636363636</v>
      </c>
      <c r="T51" s="1">
        <v>4011</v>
      </c>
      <c r="AA51" s="21"/>
      <c r="AB51" s="1" t="s">
        <v>1</v>
      </c>
      <c r="AC51" s="1">
        <v>4508</v>
      </c>
      <c r="AE51" s="2">
        <f>AVERAGE(AC47:AC57)</f>
        <v>4069.3636363636365</v>
      </c>
    </row>
    <row r="52" spans="1:33" x14ac:dyDescent="0.25">
      <c r="A52" s="21"/>
      <c r="B52" s="1" t="s">
        <v>17</v>
      </c>
      <c r="C52" s="1">
        <v>3733</v>
      </c>
      <c r="D52" s="1"/>
      <c r="E52" s="8"/>
      <c r="F52" s="1"/>
      <c r="G52" s="1">
        <v>3992</v>
      </c>
      <c r="N52" s="21"/>
      <c r="O52" s="1" t="s">
        <v>1</v>
      </c>
      <c r="P52" s="1">
        <v>4458</v>
      </c>
      <c r="T52" s="1">
        <v>4011</v>
      </c>
      <c r="AA52" s="21"/>
      <c r="AB52" s="1" t="s">
        <v>1</v>
      </c>
      <c r="AC52" s="1">
        <v>4379</v>
      </c>
    </row>
    <row r="53" spans="1:33" x14ac:dyDescent="0.25">
      <c r="A53" s="21"/>
      <c r="B53" s="1" t="s">
        <v>17</v>
      </c>
      <c r="C53" s="1">
        <v>4002</v>
      </c>
      <c r="D53" s="1"/>
      <c r="E53" s="6" t="s">
        <v>14</v>
      </c>
      <c r="F53" s="1"/>
      <c r="G53" s="1">
        <v>4002</v>
      </c>
      <c r="N53" s="21"/>
      <c r="O53" s="1" t="s">
        <v>1</v>
      </c>
      <c r="P53" s="1">
        <v>4339</v>
      </c>
      <c r="R53" s="1" t="s">
        <v>14</v>
      </c>
      <c r="T53" s="1">
        <v>4011</v>
      </c>
      <c r="AA53" s="21"/>
      <c r="AB53" s="1" t="s">
        <v>1</v>
      </c>
      <c r="AC53" s="1">
        <v>4240</v>
      </c>
      <c r="AE53" s="1" t="s">
        <v>14</v>
      </c>
    </row>
    <row r="54" spans="1:33" x14ac:dyDescent="0.25">
      <c r="A54" s="21"/>
      <c r="B54" s="1" t="s">
        <v>17</v>
      </c>
      <c r="C54" s="1">
        <v>3803</v>
      </c>
      <c r="D54" s="1"/>
      <c r="E54" s="7">
        <f>MEDIAN(C47:C57)</f>
        <v>3962</v>
      </c>
      <c r="F54" s="1"/>
      <c r="G54" s="1">
        <v>4061</v>
      </c>
      <c r="N54" s="21"/>
      <c r="O54" s="1" t="s">
        <v>1</v>
      </c>
      <c r="P54" s="1">
        <v>4210</v>
      </c>
      <c r="R54" s="2">
        <f>MEDIAN(P47:P57)</f>
        <v>4270</v>
      </c>
      <c r="T54" s="1">
        <v>3982</v>
      </c>
      <c r="AA54" s="21"/>
      <c r="AB54" s="1" t="s">
        <v>1</v>
      </c>
      <c r="AC54" s="1">
        <v>4131</v>
      </c>
      <c r="AE54" s="2">
        <f>MEDIAN(AC47:AC57)</f>
        <v>4131</v>
      </c>
    </row>
    <row r="55" spans="1:33" x14ac:dyDescent="0.25">
      <c r="A55" s="21"/>
      <c r="B55" s="1" t="s">
        <v>17</v>
      </c>
      <c r="C55" s="1">
        <v>4091</v>
      </c>
      <c r="D55" s="1"/>
      <c r="E55" s="8"/>
      <c r="F55" s="1"/>
      <c r="G55" s="1">
        <v>4091</v>
      </c>
      <c r="N55" s="21"/>
      <c r="O55" s="1" t="s">
        <v>1</v>
      </c>
      <c r="P55" s="1">
        <v>4041</v>
      </c>
      <c r="T55" s="1">
        <v>3952</v>
      </c>
      <c r="AA55" s="21"/>
      <c r="AB55" s="1" t="s">
        <v>1</v>
      </c>
      <c r="AC55" s="1">
        <v>4071</v>
      </c>
    </row>
    <row r="56" spans="1:33" x14ac:dyDescent="0.25">
      <c r="A56" s="21"/>
      <c r="B56" s="1" t="s">
        <v>17</v>
      </c>
      <c r="C56" s="1">
        <v>4687</v>
      </c>
      <c r="D56" s="1"/>
      <c r="E56" s="6" t="s">
        <v>15</v>
      </c>
      <c r="F56" s="1"/>
      <c r="G56" s="1">
        <v>4091</v>
      </c>
      <c r="N56" s="21"/>
      <c r="O56" s="1" t="s">
        <v>1</v>
      </c>
      <c r="P56" s="1">
        <v>3902</v>
      </c>
      <c r="R56" s="1" t="s">
        <v>15</v>
      </c>
      <c r="T56" s="1">
        <v>3942</v>
      </c>
      <c r="AA56" s="21"/>
      <c r="AB56" s="1" t="s">
        <v>1</v>
      </c>
      <c r="AC56" s="1">
        <v>4280</v>
      </c>
      <c r="AE56" s="1" t="s">
        <v>15</v>
      </c>
    </row>
    <row r="57" spans="1:33" x14ac:dyDescent="0.25">
      <c r="A57" s="25"/>
      <c r="B57" s="3" t="s">
        <v>17</v>
      </c>
      <c r="C57" s="3">
        <v>4558</v>
      </c>
      <c r="D57" s="3"/>
      <c r="E57" s="9">
        <f>MAX(C47:C57)</f>
        <v>4687</v>
      </c>
      <c r="F57" s="3"/>
      <c r="G57" s="3">
        <v>4101</v>
      </c>
      <c r="N57" s="25"/>
      <c r="O57" s="3" t="s">
        <v>1</v>
      </c>
      <c r="P57" s="3">
        <v>3763</v>
      </c>
      <c r="Q57" s="14"/>
      <c r="R57" s="4">
        <f>MAX(P47:P57)</f>
        <v>4726</v>
      </c>
      <c r="S57" s="14"/>
      <c r="T57" s="3">
        <v>3922</v>
      </c>
      <c r="AA57" s="25"/>
      <c r="AB57" s="3" t="s">
        <v>1</v>
      </c>
      <c r="AC57" s="3">
        <v>4111</v>
      </c>
      <c r="AD57" s="14"/>
      <c r="AE57" s="4">
        <f>MAX(AC47:AC57)</f>
        <v>4508</v>
      </c>
      <c r="AF57" s="14"/>
      <c r="AG57" s="14"/>
    </row>
    <row r="58" spans="1:33" x14ac:dyDescent="0.25">
      <c r="A58" s="21">
        <v>7007</v>
      </c>
      <c r="B58" s="1" t="s">
        <v>18</v>
      </c>
      <c r="C58" s="1">
        <v>3594</v>
      </c>
      <c r="D58" s="1"/>
      <c r="E58" s="1" t="s">
        <v>12</v>
      </c>
      <c r="F58" s="1"/>
      <c r="G58" s="1">
        <v>4101</v>
      </c>
      <c r="I58" s="1"/>
      <c r="N58" s="21">
        <v>8005</v>
      </c>
      <c r="O58" s="1" t="s">
        <v>2</v>
      </c>
      <c r="P58" s="1">
        <v>4319</v>
      </c>
      <c r="R58" s="1" t="s">
        <v>12</v>
      </c>
      <c r="T58" s="1">
        <v>3912</v>
      </c>
      <c r="AA58" s="21">
        <v>7016</v>
      </c>
      <c r="AB58" s="1" t="s">
        <v>2</v>
      </c>
      <c r="AC58" s="1">
        <v>2730</v>
      </c>
      <c r="AE58" s="1" t="s">
        <v>12</v>
      </c>
    </row>
    <row r="59" spans="1:33" x14ac:dyDescent="0.25">
      <c r="A59" s="21"/>
      <c r="B59" s="1" t="s">
        <v>18</v>
      </c>
      <c r="C59" s="1">
        <v>3386</v>
      </c>
      <c r="D59" s="1"/>
      <c r="E59" s="2">
        <f>_xlfn.STDEV.S(C58:C68)</f>
        <v>247.67430960106387</v>
      </c>
      <c r="F59" s="1"/>
      <c r="G59" s="1">
        <v>4180</v>
      </c>
      <c r="I59" s="1"/>
      <c r="N59" s="21"/>
      <c r="O59" s="1" t="s">
        <v>2</v>
      </c>
      <c r="P59" s="1">
        <v>4558</v>
      </c>
      <c r="R59" s="2">
        <f>_xlfn.STDEV.S(P58:P68)</f>
        <v>198.50262191994068</v>
      </c>
      <c r="T59" s="1">
        <v>3902</v>
      </c>
      <c r="AA59" s="21"/>
      <c r="AB59" s="1" t="s">
        <v>2</v>
      </c>
      <c r="AC59" s="1">
        <v>2999</v>
      </c>
      <c r="AE59" s="2">
        <f>_xlfn.STDEV.S(AC58:AC68)</f>
        <v>729.00431473969388</v>
      </c>
    </row>
    <row r="60" spans="1:33" x14ac:dyDescent="0.25">
      <c r="A60" s="21"/>
      <c r="B60" s="1" t="s">
        <v>18</v>
      </c>
      <c r="C60" s="1">
        <v>3247</v>
      </c>
      <c r="D60" s="1"/>
      <c r="E60" s="1"/>
      <c r="F60" s="1"/>
      <c r="G60" s="1">
        <v>4190</v>
      </c>
      <c r="I60" s="1"/>
      <c r="N60" s="21"/>
      <c r="O60" s="1" t="s">
        <v>2</v>
      </c>
      <c r="P60" s="1">
        <v>4419</v>
      </c>
      <c r="R60" s="1"/>
      <c r="T60" s="1">
        <v>3892</v>
      </c>
      <c r="AA60" s="21"/>
      <c r="AB60" s="1" t="s">
        <v>2</v>
      </c>
      <c r="AC60" s="1">
        <v>3227</v>
      </c>
      <c r="AE60" s="1"/>
    </row>
    <row r="61" spans="1:33" x14ac:dyDescent="0.25">
      <c r="A61" s="21"/>
      <c r="B61" s="1" t="s">
        <v>18</v>
      </c>
      <c r="C61" s="1">
        <v>3108</v>
      </c>
      <c r="D61" s="1"/>
      <c r="E61" s="1" t="s">
        <v>13</v>
      </c>
      <c r="F61" s="1"/>
      <c r="G61" s="1">
        <v>4230</v>
      </c>
      <c r="I61" s="1"/>
      <c r="N61" s="21"/>
      <c r="O61" s="1" t="s">
        <v>2</v>
      </c>
      <c r="P61" s="1">
        <v>4339</v>
      </c>
      <c r="R61" s="1" t="s">
        <v>13</v>
      </c>
      <c r="T61" s="1">
        <v>3892</v>
      </c>
      <c r="AA61" s="21"/>
      <c r="AB61" s="1" t="s">
        <v>2</v>
      </c>
      <c r="AC61" s="1">
        <v>4290</v>
      </c>
      <c r="AE61" s="1" t="s">
        <v>13</v>
      </c>
    </row>
    <row r="62" spans="1:33" x14ac:dyDescent="0.25">
      <c r="A62" s="21"/>
      <c r="B62" s="1" t="s">
        <v>18</v>
      </c>
      <c r="C62" s="1">
        <v>3743</v>
      </c>
      <c r="D62" s="1"/>
      <c r="E62" s="2">
        <f>AVERAGE(C58:C68)</f>
        <v>3577.181818181818</v>
      </c>
      <c r="F62" s="1"/>
      <c r="G62" s="1">
        <v>4270</v>
      </c>
      <c r="I62" s="1"/>
      <c r="N62" s="21"/>
      <c r="O62" s="1" t="s">
        <v>2</v>
      </c>
      <c r="P62" s="1">
        <v>4140</v>
      </c>
      <c r="R62" s="2">
        <f>AVERAGE(P58:P68)</f>
        <v>4302.090909090909</v>
      </c>
      <c r="T62" s="1">
        <v>3863</v>
      </c>
      <c r="AA62" s="21"/>
      <c r="AB62" s="1" t="s">
        <v>2</v>
      </c>
      <c r="AC62" s="1">
        <v>4865</v>
      </c>
      <c r="AE62" s="2">
        <f>AVERAGE(AC58:AC68)</f>
        <v>4052.909090909091</v>
      </c>
    </row>
    <row r="63" spans="1:33" x14ac:dyDescent="0.25">
      <c r="A63" s="21"/>
      <c r="B63" s="1" t="s">
        <v>18</v>
      </c>
      <c r="C63" s="1">
        <v>3604</v>
      </c>
      <c r="D63" s="1"/>
      <c r="F63" s="1"/>
      <c r="G63" s="1">
        <v>4299</v>
      </c>
      <c r="I63" s="1"/>
      <c r="N63" s="21"/>
      <c r="O63" s="1" t="s">
        <v>2</v>
      </c>
      <c r="P63" s="1">
        <v>4031</v>
      </c>
      <c r="T63" s="1">
        <v>3793</v>
      </c>
      <c r="AA63" s="21"/>
      <c r="AB63" s="1" t="s">
        <v>2</v>
      </c>
      <c r="AC63" s="1">
        <v>4736</v>
      </c>
    </row>
    <row r="64" spans="1:33" x14ac:dyDescent="0.25">
      <c r="A64" s="21"/>
      <c r="B64" s="1" t="s">
        <v>18</v>
      </c>
      <c r="C64" s="1">
        <v>3515</v>
      </c>
      <c r="D64" s="1"/>
      <c r="E64" s="1" t="s">
        <v>14</v>
      </c>
      <c r="F64" s="1"/>
      <c r="G64" s="1">
        <v>4299</v>
      </c>
      <c r="I64" s="1"/>
      <c r="N64" s="21"/>
      <c r="O64" s="1" t="s">
        <v>2</v>
      </c>
      <c r="P64" s="1">
        <v>3942</v>
      </c>
      <c r="R64" s="1" t="s">
        <v>14</v>
      </c>
      <c r="T64" s="1">
        <v>3763</v>
      </c>
      <c r="AA64" s="21"/>
      <c r="AB64" s="1" t="s">
        <v>2</v>
      </c>
      <c r="AC64" s="1">
        <v>4587</v>
      </c>
      <c r="AE64" s="1" t="s">
        <v>14</v>
      </c>
    </row>
    <row r="65" spans="1:33" x14ac:dyDescent="0.25">
      <c r="A65" s="21"/>
      <c r="B65" s="1" t="s">
        <v>18</v>
      </c>
      <c r="C65" s="11">
        <v>3733</v>
      </c>
      <c r="D65" s="1"/>
      <c r="E65" s="2">
        <f>MEDIAN(C58:C68)</f>
        <v>3604</v>
      </c>
      <c r="F65" s="1"/>
      <c r="G65" s="1">
        <v>4438</v>
      </c>
      <c r="I65" s="1"/>
      <c r="N65" s="21"/>
      <c r="O65" s="1" t="s">
        <v>2</v>
      </c>
      <c r="P65" s="1">
        <v>4538</v>
      </c>
      <c r="R65" s="2">
        <f>MEDIAN(P58:P68)</f>
        <v>4339</v>
      </c>
      <c r="T65" s="1">
        <v>3723</v>
      </c>
      <c r="AA65" s="21"/>
      <c r="AB65" s="1" t="s">
        <v>2</v>
      </c>
      <c r="AC65" s="1">
        <v>4488</v>
      </c>
      <c r="AE65" s="2">
        <f>MEDIAN(AC58:AC68)</f>
        <v>4290</v>
      </c>
    </row>
    <row r="66" spans="1:33" x14ac:dyDescent="0.25">
      <c r="A66" s="21"/>
      <c r="B66" s="1" t="s">
        <v>18</v>
      </c>
      <c r="C66" s="1">
        <v>3942</v>
      </c>
      <c r="D66" s="1"/>
      <c r="F66" s="1"/>
      <c r="G66" s="1">
        <v>4448</v>
      </c>
      <c r="I66" s="1"/>
      <c r="N66" s="21"/>
      <c r="O66" s="1" t="s">
        <v>2</v>
      </c>
      <c r="P66" s="1">
        <v>4369</v>
      </c>
      <c r="T66" s="1">
        <v>3723</v>
      </c>
      <c r="AA66" s="21"/>
      <c r="AB66" s="1" t="s">
        <v>2</v>
      </c>
      <c r="AC66" s="1">
        <v>4339</v>
      </c>
    </row>
    <row r="67" spans="1:33" x14ac:dyDescent="0.25">
      <c r="A67" s="21"/>
      <c r="B67" s="1" t="s">
        <v>18</v>
      </c>
      <c r="C67" s="1">
        <v>3793</v>
      </c>
      <c r="D67" s="1"/>
      <c r="E67" s="1" t="s">
        <v>15</v>
      </c>
      <c r="F67" s="1"/>
      <c r="G67" s="1">
        <v>4558</v>
      </c>
      <c r="I67" s="1"/>
      <c r="N67" s="21"/>
      <c r="O67" s="1" t="s">
        <v>2</v>
      </c>
      <c r="P67" s="1">
        <v>4230</v>
      </c>
      <c r="R67" s="1" t="s">
        <v>15</v>
      </c>
      <c r="T67" s="1">
        <v>3654</v>
      </c>
      <c r="AA67" s="21"/>
      <c r="AB67" s="1" t="s">
        <v>2</v>
      </c>
      <c r="AC67" s="1">
        <v>4230</v>
      </c>
      <c r="AE67" s="1" t="s">
        <v>15</v>
      </c>
    </row>
    <row r="68" spans="1:33" x14ac:dyDescent="0.25">
      <c r="A68" s="25"/>
      <c r="B68" s="3" t="s">
        <v>18</v>
      </c>
      <c r="C68" s="10">
        <v>3684</v>
      </c>
      <c r="D68" s="3"/>
      <c r="E68" s="4">
        <f>MAX(C58:C68)</f>
        <v>3942</v>
      </c>
      <c r="F68" s="3"/>
      <c r="G68" s="3">
        <v>4687</v>
      </c>
      <c r="I68" s="1"/>
      <c r="N68" s="25"/>
      <c r="O68" s="3" t="s">
        <v>2</v>
      </c>
      <c r="P68" s="3">
        <v>4438</v>
      </c>
      <c r="Q68" s="14"/>
      <c r="R68" s="4">
        <f>MAX(P58:P68)</f>
        <v>4558</v>
      </c>
      <c r="S68" s="14"/>
      <c r="T68" s="3">
        <v>3505</v>
      </c>
      <c r="AA68" s="25"/>
      <c r="AB68" s="3" t="s">
        <v>2</v>
      </c>
      <c r="AC68" s="3">
        <v>4091</v>
      </c>
      <c r="AD68" s="14"/>
      <c r="AE68" s="4">
        <f>MAX(AC58:AC68)</f>
        <v>4865</v>
      </c>
      <c r="AF68" s="14"/>
      <c r="AG68" s="14"/>
    </row>
    <row r="69" spans="1:33" x14ac:dyDescent="0.25">
      <c r="C69" s="1"/>
      <c r="D69" s="1"/>
      <c r="E69" s="1"/>
      <c r="F69" s="1"/>
      <c r="G69" s="1"/>
    </row>
    <row r="70" spans="1:33" x14ac:dyDescent="0.25">
      <c r="B70" s="5" t="s">
        <v>6</v>
      </c>
      <c r="C70" s="2">
        <f>_xlfn.STDEV.S(C3:C68)</f>
        <v>419.68491816615324</v>
      </c>
      <c r="D70" s="1"/>
      <c r="E70" s="1"/>
      <c r="F70" s="1"/>
      <c r="G70" s="1"/>
      <c r="O70" s="5" t="s">
        <v>6</v>
      </c>
      <c r="P70" s="2">
        <f>_xlfn.STDEV.S(P3:P68)</f>
        <v>445.18152946016573</v>
      </c>
      <c r="Q70" s="1"/>
      <c r="AB70" s="5" t="s">
        <v>6</v>
      </c>
      <c r="AC70" s="2">
        <f>_xlfn.STDEV.S(AC3:AC68)</f>
        <v>652.94105243024603</v>
      </c>
      <c r="AD70" s="1"/>
    </row>
    <row r="71" spans="1:33" x14ac:dyDescent="0.25">
      <c r="B71" s="5" t="s">
        <v>7</v>
      </c>
      <c r="C71" s="2">
        <f>AVERAGE(C3:C68)</f>
        <v>3694.651515151515</v>
      </c>
      <c r="D71" s="1"/>
      <c r="E71" s="1"/>
      <c r="F71" s="1"/>
      <c r="G71" s="1"/>
      <c r="O71" s="5" t="s">
        <v>7</v>
      </c>
      <c r="P71" s="2">
        <f>AVERAGE(P3:P68)</f>
        <v>4308.742424242424</v>
      </c>
      <c r="Q71" s="1"/>
      <c r="AB71" s="5" t="s">
        <v>7</v>
      </c>
      <c r="AC71" s="2">
        <f>AVERAGE(AC3:AC68)</f>
        <v>3933.8333333333335</v>
      </c>
      <c r="AD71" s="1"/>
    </row>
    <row r="72" spans="1:33" x14ac:dyDescent="0.25">
      <c r="B72" s="5" t="s">
        <v>8</v>
      </c>
      <c r="C72" s="2">
        <f>MEDIAN(C3:C68)</f>
        <v>3708.5</v>
      </c>
      <c r="D72" s="1"/>
      <c r="E72" s="1"/>
      <c r="F72" s="1"/>
      <c r="G72" s="1"/>
      <c r="O72" s="5" t="s">
        <v>8</v>
      </c>
      <c r="P72" s="2">
        <f>MEDIAN(P3:P68)</f>
        <v>4275</v>
      </c>
      <c r="Q72" s="1"/>
      <c r="AB72" s="5" t="s">
        <v>8</v>
      </c>
      <c r="AC72" s="2">
        <f>MEDIAN(AC3:AC68)</f>
        <v>4136</v>
      </c>
      <c r="AD72" s="1"/>
    </row>
    <row r="73" spans="1:33" x14ac:dyDescent="0.25">
      <c r="B73" s="5" t="s">
        <v>9</v>
      </c>
      <c r="C73" s="2">
        <f>MAX(C3:C68)</f>
        <v>4687</v>
      </c>
      <c r="D73" s="21">
        <f>(C73+C74)/2</f>
        <v>3793</v>
      </c>
      <c r="E73" s="1"/>
      <c r="F73" s="1"/>
      <c r="G73" s="1"/>
      <c r="O73" s="5" t="s">
        <v>9</v>
      </c>
      <c r="P73" s="2">
        <f>MAX(P3:P68)</f>
        <v>5779</v>
      </c>
      <c r="Q73" s="21">
        <f>(P73+P74)/2</f>
        <v>4642</v>
      </c>
      <c r="AB73" s="5" t="s">
        <v>9</v>
      </c>
      <c r="AC73" s="2">
        <f>MAX(AC3:AC68)</f>
        <v>4865</v>
      </c>
      <c r="AD73" s="21">
        <f>(AC73+AC74)/2</f>
        <v>3341</v>
      </c>
    </row>
    <row r="74" spans="1:33" x14ac:dyDescent="0.25">
      <c r="B74" s="5" t="s">
        <v>19</v>
      </c>
      <c r="C74" s="2">
        <f>MIN(C3:C68)</f>
        <v>2899</v>
      </c>
      <c r="D74" s="21"/>
      <c r="F74" s="1"/>
      <c r="G74" s="1"/>
      <c r="O74" s="5" t="s">
        <v>19</v>
      </c>
      <c r="P74" s="2">
        <f>MIN(P3:P68)</f>
        <v>3505</v>
      </c>
      <c r="Q74" s="21"/>
      <c r="AB74" s="5" t="s">
        <v>19</v>
      </c>
      <c r="AC74" s="2">
        <f>MIN(AC3:AC68)</f>
        <v>1817</v>
      </c>
      <c r="AD74" s="21"/>
    </row>
    <row r="75" spans="1:33" x14ac:dyDescent="0.25">
      <c r="C75" s="1"/>
      <c r="D75" s="1"/>
      <c r="E75" s="1"/>
      <c r="F75" s="1"/>
      <c r="G75" s="1"/>
    </row>
    <row r="76" spans="1:33" x14ac:dyDescent="0.25">
      <c r="C76" s="1"/>
      <c r="D76" s="1"/>
      <c r="E76" s="1"/>
      <c r="F76" s="1"/>
      <c r="G76" s="1"/>
    </row>
    <row r="77" spans="1:33" x14ac:dyDescent="0.25">
      <c r="C77" s="1"/>
      <c r="D77" s="1"/>
      <c r="E77" s="1"/>
      <c r="F77" s="1"/>
      <c r="G77" s="1"/>
    </row>
    <row r="78" spans="1:33" x14ac:dyDescent="0.25">
      <c r="C78" s="1"/>
      <c r="D78" s="1"/>
      <c r="E78" s="1"/>
      <c r="F78" s="1"/>
      <c r="G78" s="1"/>
    </row>
    <row r="79" spans="1:33" x14ac:dyDescent="0.25">
      <c r="C79" s="1"/>
      <c r="D79" s="1"/>
      <c r="E79" s="1"/>
      <c r="F79" s="1"/>
      <c r="G79" s="1"/>
    </row>
    <row r="80" spans="1:33" x14ac:dyDescent="0.25">
      <c r="C80" s="1"/>
      <c r="D80" s="1"/>
      <c r="E80" s="1"/>
      <c r="F80" s="1"/>
      <c r="G80" s="1"/>
    </row>
    <row r="81" spans="3:7" x14ac:dyDescent="0.25">
      <c r="C81" s="1"/>
      <c r="D81" s="1"/>
      <c r="E81" s="1"/>
      <c r="F81" s="1"/>
      <c r="G81" s="1"/>
    </row>
    <row r="82" spans="3:7" x14ac:dyDescent="0.25">
      <c r="C82" s="1"/>
      <c r="D82" s="1"/>
      <c r="E82" s="1"/>
      <c r="F82" s="1"/>
      <c r="G82" s="1"/>
    </row>
    <row r="83" spans="3:7" x14ac:dyDescent="0.25">
      <c r="C83" s="1"/>
      <c r="D83" s="1"/>
      <c r="E83" s="1"/>
      <c r="F83" s="1"/>
      <c r="G83" s="1"/>
    </row>
  </sheetData>
  <autoFilter ref="T1:T68" xr:uid="{00000000-0001-0000-0000-000000000000}">
    <sortState xmlns:xlrd2="http://schemas.microsoft.com/office/spreadsheetml/2017/richdata2" ref="T2:T68">
      <sortCondition descending="1" ref="T1:T68"/>
    </sortState>
  </autoFilter>
  <mergeCells count="30">
    <mergeCell ref="AD73:AD74"/>
    <mergeCell ref="A1:E1"/>
    <mergeCell ref="N1:R1"/>
    <mergeCell ref="N3:N13"/>
    <mergeCell ref="Q73:Q74"/>
    <mergeCell ref="D73:D74"/>
    <mergeCell ref="I35:I36"/>
    <mergeCell ref="K35:K36"/>
    <mergeCell ref="A3:A13"/>
    <mergeCell ref="A14:A24"/>
    <mergeCell ref="A25:A35"/>
    <mergeCell ref="A36:A46"/>
    <mergeCell ref="A47:A57"/>
    <mergeCell ref="A58:A68"/>
    <mergeCell ref="N14:N24"/>
    <mergeCell ref="N25:N35"/>
    <mergeCell ref="AA36:AA46"/>
    <mergeCell ref="N47:N57"/>
    <mergeCell ref="N58:N68"/>
    <mergeCell ref="AA47:AA57"/>
    <mergeCell ref="AA58:AA68"/>
    <mergeCell ref="N36:N46"/>
    <mergeCell ref="V32:V33"/>
    <mergeCell ref="X32:X33"/>
    <mergeCell ref="V31:W31"/>
    <mergeCell ref="X31:Y31"/>
    <mergeCell ref="AA1:AE1"/>
    <mergeCell ref="AA3:AA13"/>
    <mergeCell ref="AA14:AA24"/>
    <mergeCell ref="AA25:AA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Farias</dc:creator>
  <cp:lastModifiedBy>Matias Farias</cp:lastModifiedBy>
  <dcterms:created xsi:type="dcterms:W3CDTF">2015-06-05T18:19:34Z</dcterms:created>
  <dcterms:modified xsi:type="dcterms:W3CDTF">2025-12-01T00:49:05Z</dcterms:modified>
</cp:coreProperties>
</file>